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UP SKILLS HUB\Excel\"/>
    </mc:Choice>
  </mc:AlternateContent>
  <xr:revisionPtr revIDLastSave="0" documentId="13_ncr:1_{5E54DBBB-B651-4FF5-9305-4E70C46B9E3D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2" r:id="rId1"/>
    <sheet name="HR Payroll" sheetId="1" r:id="rId2"/>
  </sheets>
  <calcPr calcId="191029"/>
  <pivotCaches>
    <pivotCache cacheId="6" r:id="rId3"/>
  </pivotCaches>
</workbook>
</file>

<file path=xl/calcChain.xml><?xml version="1.0" encoding="utf-8"?>
<calcChain xmlns="http://schemas.openxmlformats.org/spreadsheetml/2006/main">
  <c r="L5" i="1" l="1"/>
  <c r="L11" i="1" l="1"/>
  <c r="I11" i="1"/>
  <c r="H11" i="1"/>
  <c r="G11" i="1"/>
  <c r="L10" i="1"/>
  <c r="I10" i="1"/>
  <c r="H10" i="1"/>
  <c r="G10" i="1"/>
  <c r="L9" i="1"/>
  <c r="I9" i="1"/>
  <c r="H9" i="1"/>
  <c r="G9" i="1"/>
  <c r="L8" i="1"/>
  <c r="I8" i="1"/>
  <c r="H8" i="1"/>
  <c r="G8" i="1"/>
  <c r="L7" i="1"/>
  <c r="I7" i="1"/>
  <c r="H7" i="1"/>
  <c r="G7" i="1"/>
  <c r="I6" i="1"/>
  <c r="H6" i="1"/>
  <c r="G6" i="1"/>
  <c r="I5" i="1"/>
  <c r="H5" i="1"/>
  <c r="G5" i="1"/>
  <c r="L4" i="1"/>
  <c r="I4" i="1"/>
  <c r="H4" i="1"/>
  <c r="G4" i="1"/>
  <c r="L3" i="1"/>
  <c r="I3" i="1"/>
  <c r="H3" i="1"/>
  <c r="G3" i="1"/>
  <c r="L2" i="1"/>
  <c r="I2" i="1"/>
  <c r="H2" i="1"/>
  <c r="G2" i="1"/>
</calcChain>
</file>

<file path=xl/sharedStrings.xml><?xml version="1.0" encoding="utf-8"?>
<sst xmlns="http://schemas.openxmlformats.org/spreadsheetml/2006/main" count="73" uniqueCount="44">
  <si>
    <t>Employee ID</t>
  </si>
  <si>
    <t>Employee Name</t>
  </si>
  <si>
    <t>Department</t>
  </si>
  <si>
    <t>Basic Salary</t>
  </si>
  <si>
    <t>Allowance</t>
  </si>
  <si>
    <t>Deduction</t>
  </si>
  <si>
    <t>Gross Salary</t>
  </si>
  <si>
    <t>Net Salary</t>
  </si>
  <si>
    <t>High Earner</t>
  </si>
  <si>
    <t>Summary</t>
  </si>
  <si>
    <t>E001</t>
  </si>
  <si>
    <t>John Doe</t>
  </si>
  <si>
    <t>Finance</t>
  </si>
  <si>
    <t>Total Payroll Cost</t>
  </si>
  <si>
    <t>E002</t>
  </si>
  <si>
    <t>Mary Smith</t>
  </si>
  <si>
    <t>Sales</t>
  </si>
  <si>
    <t>Average Net Salary</t>
  </si>
  <si>
    <t>E003</t>
  </si>
  <si>
    <t>Alice Brown</t>
  </si>
  <si>
    <t>HR</t>
  </si>
  <si>
    <t>Employees Above 600,000</t>
  </si>
  <si>
    <t>E004</t>
  </si>
  <si>
    <t>Peter Wilson</t>
  </si>
  <si>
    <t>IT</t>
  </si>
  <si>
    <t>E005</t>
  </si>
  <si>
    <t>Grace Lee</t>
  </si>
  <si>
    <t>Marketing</t>
  </si>
  <si>
    <t>Department Payroll Cost</t>
  </si>
  <si>
    <t>E006</t>
  </si>
  <si>
    <t>James King</t>
  </si>
  <si>
    <t>E007</t>
  </si>
  <si>
    <t>Linda Green</t>
  </si>
  <si>
    <t>E008</t>
  </si>
  <si>
    <t>Michael Scott</t>
  </si>
  <si>
    <t>E009</t>
  </si>
  <si>
    <t>Sarah Young</t>
  </si>
  <si>
    <t>E010</t>
  </si>
  <si>
    <t>David Clark</t>
  </si>
  <si>
    <t>Row Labels</t>
  </si>
  <si>
    <t>Grand Total</t>
  </si>
  <si>
    <t>Sum of Basic Salary</t>
  </si>
  <si>
    <t>(All)</t>
  </si>
  <si>
    <t>Sum of 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</si>
</sst>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[HR_Payroll.xlsx]Sheet1!PivotTable1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Basic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Sheet1!$A$4:$A$22</c:f>
              <c:multiLvlStrCache>
                <c:ptCount val="6"/>
                <c:lvl>
                  <c:pt idx="0">
                    <c:v>E010</c:v>
                  </c:pt>
                  <c:pt idx="1">
                    <c:v>E005</c:v>
                  </c:pt>
                  <c:pt idx="2">
                    <c:v>E007</c:v>
                  </c:pt>
                  <c:pt idx="3">
                    <c:v>E002</c:v>
                  </c:pt>
                  <c:pt idx="4">
                    <c:v>E008</c:v>
                  </c:pt>
                  <c:pt idx="5">
                    <c:v>E004</c:v>
                  </c:pt>
                </c:lvl>
                <c:lvl>
                  <c:pt idx="0">
                    <c:v>Marketing</c:v>
                  </c:pt>
                  <c:pt idx="1">
                    <c:v>Marketing</c:v>
                  </c:pt>
                  <c:pt idx="2">
                    <c:v>Sales</c:v>
                  </c:pt>
                  <c:pt idx="3">
                    <c:v>Sales</c:v>
                  </c:pt>
                  <c:pt idx="4">
                    <c:v>IT</c:v>
                  </c:pt>
                  <c:pt idx="5">
                    <c:v>IT</c:v>
                  </c:pt>
                </c:lvl>
                <c:lvl>
                  <c:pt idx="0">
                    <c:v>David Clark</c:v>
                  </c:pt>
                  <c:pt idx="1">
                    <c:v>Grace Lee</c:v>
                  </c:pt>
                  <c:pt idx="2">
                    <c:v>Linda Green</c:v>
                  </c:pt>
                  <c:pt idx="3">
                    <c:v>Mary Smith</c:v>
                  </c:pt>
                  <c:pt idx="4">
                    <c:v>Michael Scott</c:v>
                  </c:pt>
                  <c:pt idx="5">
                    <c:v>Peter Wilson</c:v>
                  </c:pt>
                </c:lvl>
              </c:multiLvlStrCache>
            </c:multiLvlStrRef>
          </c:cat>
          <c:val>
            <c:numRef>
              <c:f>Sheet1!$B$4:$B$22</c:f>
              <c:numCache>
                <c:formatCode>General</c:formatCode>
                <c:ptCount val="6"/>
                <c:pt idx="0">
                  <c:v>590000</c:v>
                </c:pt>
                <c:pt idx="1">
                  <c:v>580000</c:v>
                </c:pt>
                <c:pt idx="2">
                  <c:v>540000</c:v>
                </c:pt>
                <c:pt idx="3">
                  <c:v>550000</c:v>
                </c:pt>
                <c:pt idx="4">
                  <c:v>680000</c:v>
                </c:pt>
                <c:pt idx="5">
                  <c:v>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9-4E1B-B229-E9184A61640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Gross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Sheet1!$A$4:$A$22</c:f>
              <c:multiLvlStrCache>
                <c:ptCount val="6"/>
                <c:lvl>
                  <c:pt idx="0">
                    <c:v>E010</c:v>
                  </c:pt>
                  <c:pt idx="1">
                    <c:v>E005</c:v>
                  </c:pt>
                  <c:pt idx="2">
                    <c:v>E007</c:v>
                  </c:pt>
                  <c:pt idx="3">
                    <c:v>E002</c:v>
                  </c:pt>
                  <c:pt idx="4">
                    <c:v>E008</c:v>
                  </c:pt>
                  <c:pt idx="5">
                    <c:v>E004</c:v>
                  </c:pt>
                </c:lvl>
                <c:lvl>
                  <c:pt idx="0">
                    <c:v>Marketing</c:v>
                  </c:pt>
                  <c:pt idx="1">
                    <c:v>Marketing</c:v>
                  </c:pt>
                  <c:pt idx="2">
                    <c:v>Sales</c:v>
                  </c:pt>
                  <c:pt idx="3">
                    <c:v>Sales</c:v>
                  </c:pt>
                  <c:pt idx="4">
                    <c:v>IT</c:v>
                  </c:pt>
                  <c:pt idx="5">
                    <c:v>IT</c:v>
                  </c:pt>
                </c:lvl>
                <c:lvl>
                  <c:pt idx="0">
                    <c:v>David Clark</c:v>
                  </c:pt>
                  <c:pt idx="1">
                    <c:v>Grace Lee</c:v>
                  </c:pt>
                  <c:pt idx="2">
                    <c:v>Linda Green</c:v>
                  </c:pt>
                  <c:pt idx="3">
                    <c:v>Mary Smith</c:v>
                  </c:pt>
                  <c:pt idx="4">
                    <c:v>Michael Scott</c:v>
                  </c:pt>
                  <c:pt idx="5">
                    <c:v>Peter Wilson</c:v>
                  </c:pt>
                </c:lvl>
              </c:multiLvlStrCache>
            </c:multiLvlStrRef>
          </c:cat>
          <c:val>
            <c:numRef>
              <c:f>Sheet1!$C$4:$C$22</c:f>
              <c:numCache>
                <c:formatCode>General</c:formatCode>
                <c:ptCount val="6"/>
                <c:pt idx="0">
                  <c:v>668000</c:v>
                </c:pt>
                <c:pt idx="1">
                  <c:v>655000</c:v>
                </c:pt>
                <c:pt idx="2">
                  <c:v>610000</c:v>
                </c:pt>
                <c:pt idx="3">
                  <c:v>620000</c:v>
                </c:pt>
                <c:pt idx="4">
                  <c:v>775000</c:v>
                </c:pt>
                <c:pt idx="5">
                  <c:v>740000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9-4E1B-B229-E9184A616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8799"/>
        <c:axId val="22567823"/>
      </c:barChart>
      <c:catAx>
        <c:axId val="102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7823"/>
        <c:crosses val="autoZero"/>
        <c:auto val="1"/>
        <c:lblAlgn val="ctr"/>
        <c:lblOffset val="100"/>
        <c:noMultiLvlLbl val="0"/>
      </c:catAx>
      <c:valAx>
        <c:axId val="225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11</xdr:row>
      <xdr:rowOff>147637</xdr:rowOff>
    </xdr:from>
    <xdr:to>
      <xdr:col>8</xdr:col>
      <xdr:colOff>457200</xdr:colOff>
      <xdr:row>30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D34F3-0CF5-4134-AE93-5D1C48683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5.505989699072" createdVersion="6" refreshedVersion="6" minRefreshableVersion="3" recordCount="10" xr:uid="{88684D03-D767-4C52-8DAD-6E1DA1246573}">
  <cacheSource type="worksheet">
    <worksheetSource ref="A1:H11" sheet="HR Payroll"/>
  </cacheSource>
  <cacheFields count="8">
    <cacheField name="Employee ID" numFmtId="0">
      <sharedItems count="10">
        <s v="E001"/>
        <s v="E002"/>
        <s v="E003"/>
        <s v="E004"/>
        <s v="E005"/>
        <s v="E006"/>
        <s v="E007"/>
        <s v="E008"/>
        <s v="E009"/>
        <s v="E010"/>
      </sharedItems>
    </cacheField>
    <cacheField name="Employee Name" numFmtId="0">
      <sharedItems count="10">
        <s v="John Doe"/>
        <s v="Mary Smith"/>
        <s v="Alice Brown"/>
        <s v="Peter Wilson"/>
        <s v="Grace Lee"/>
        <s v="James King"/>
        <s v="Linda Green"/>
        <s v="Michael Scott"/>
        <s v="Sarah Young"/>
        <s v="David Clark"/>
      </sharedItems>
    </cacheField>
    <cacheField name="Department" numFmtId="0">
      <sharedItems count="5">
        <s v="Finance"/>
        <s v="Sales"/>
        <s v="HR"/>
        <s v="IT"/>
        <s v="Marketing"/>
      </sharedItems>
    </cacheField>
    <cacheField name="Basic Salary" numFmtId="0">
      <sharedItems containsSemiMixedTypes="0" containsString="0" containsNumber="1" containsInteger="1" minValue="500000" maxValue="680000" count="10">
        <n v="600000"/>
        <n v="550000"/>
        <n v="500000"/>
        <n v="650000"/>
        <n v="580000"/>
        <n v="620000"/>
        <n v="540000"/>
        <n v="680000"/>
        <n v="510000"/>
        <n v="590000"/>
      </sharedItems>
    </cacheField>
    <cacheField name="Allowance" numFmtId="0">
      <sharedItems containsSemiMixedTypes="0" containsString="0" containsNumber="1" containsInteger="1" minValue="60000" maxValue="95000"/>
    </cacheField>
    <cacheField name="Deduction" numFmtId="0">
      <sharedItems containsSemiMixedTypes="0" containsString="0" containsNumber="1" containsInteger="1" minValue="40000" maxValue="65000"/>
    </cacheField>
    <cacheField name="Gross Salary" numFmtId="0">
      <sharedItems containsSemiMixedTypes="0" containsString="0" containsNumber="1" containsInteger="1" minValue="560000" maxValue="775000"/>
    </cacheField>
    <cacheField name="Net Salary" numFmtId="0">
      <sharedItems containsSemiMixedTypes="0" containsString="0" containsNumber="1" containsInteger="1" minValue="520000" maxValue="710000" count="10">
        <n v="630000"/>
        <n v="575000"/>
        <n v="520000"/>
        <n v="680000"/>
        <n v="605000"/>
        <n v="650000"/>
        <n v="565000"/>
        <n v="710000"/>
        <n v="533000"/>
        <n v="616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80000"/>
    <n v="50000"/>
    <n v="680000"/>
    <x v="0"/>
  </r>
  <r>
    <x v="1"/>
    <x v="1"/>
    <x v="1"/>
    <x v="1"/>
    <n v="70000"/>
    <n v="45000"/>
    <n v="620000"/>
    <x v="1"/>
  </r>
  <r>
    <x v="2"/>
    <x v="2"/>
    <x v="2"/>
    <x v="2"/>
    <n v="60000"/>
    <n v="40000"/>
    <n v="560000"/>
    <x v="2"/>
  </r>
  <r>
    <x v="3"/>
    <x v="3"/>
    <x v="3"/>
    <x v="3"/>
    <n v="90000"/>
    <n v="60000"/>
    <n v="740000"/>
    <x v="3"/>
  </r>
  <r>
    <x v="4"/>
    <x v="4"/>
    <x v="4"/>
    <x v="4"/>
    <n v="75000"/>
    <n v="50000"/>
    <n v="655000"/>
    <x v="4"/>
  </r>
  <r>
    <x v="5"/>
    <x v="5"/>
    <x v="0"/>
    <x v="5"/>
    <n v="85000"/>
    <n v="55000"/>
    <n v="705000"/>
    <x v="5"/>
  </r>
  <r>
    <x v="6"/>
    <x v="6"/>
    <x v="1"/>
    <x v="6"/>
    <n v="70000"/>
    <n v="45000"/>
    <n v="610000"/>
    <x v="6"/>
  </r>
  <r>
    <x v="7"/>
    <x v="7"/>
    <x v="3"/>
    <x v="7"/>
    <n v="95000"/>
    <n v="65000"/>
    <n v="775000"/>
    <x v="7"/>
  </r>
  <r>
    <x v="8"/>
    <x v="8"/>
    <x v="2"/>
    <x v="8"/>
    <n v="65000"/>
    <n v="42000"/>
    <n v="575000"/>
    <x v="8"/>
  </r>
  <r>
    <x v="9"/>
    <x v="9"/>
    <x v="4"/>
    <x v="9"/>
    <n v="78000"/>
    <n v="52000"/>
    <n v="66800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F463B-03F3-4C9A-AE95-847F6E210B98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22" firstHeaderRow="0" firstDataRow="1" firstDataCol="1" rowPageCount="1" colPageCount="1"/>
  <pivotFields count="8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2"/>
        <item x="9"/>
        <item x="4"/>
        <item x="5"/>
        <item x="0"/>
        <item x="6"/>
        <item x="1"/>
        <item x="7"/>
        <item x="3"/>
        <item x="8"/>
        <item t="default"/>
      </items>
    </pivotField>
    <pivotField axis="axisRow" showAll="0">
      <items count="6">
        <item h="1" x="0"/>
        <item h="1" x="2"/>
        <item x="3"/>
        <item x="4"/>
        <item x="1"/>
        <item t="default"/>
      </items>
    </pivotField>
    <pivotField dataField="1" showAll="0"/>
    <pivotField showAll="0"/>
    <pivotField showAll="0"/>
    <pivotField dataField="1" showAll="0"/>
    <pivotField axis="axisPage" multipleItemSelectionAllowed="1" showAll="0">
      <items count="11">
        <item x="2"/>
        <item x="8"/>
        <item x="6"/>
        <item x="1"/>
        <item x="4"/>
        <item x="9"/>
        <item x="0"/>
        <item x="5"/>
        <item x="3"/>
        <item x="7"/>
        <item t="default"/>
      </items>
    </pivotField>
  </pivotFields>
  <rowFields count="3">
    <field x="1"/>
    <field x="2"/>
    <field x="0"/>
  </rowFields>
  <rowItems count="19">
    <i>
      <x v="1"/>
    </i>
    <i r="1">
      <x v="3"/>
    </i>
    <i r="2">
      <x v="9"/>
    </i>
    <i>
      <x v="2"/>
    </i>
    <i r="1">
      <x v="3"/>
    </i>
    <i r="2">
      <x v="4"/>
    </i>
    <i>
      <x v="5"/>
    </i>
    <i r="1">
      <x v="4"/>
    </i>
    <i r="2">
      <x v="6"/>
    </i>
    <i>
      <x v="6"/>
    </i>
    <i r="1">
      <x v="4"/>
    </i>
    <i r="2">
      <x v="1"/>
    </i>
    <i>
      <x v="7"/>
    </i>
    <i r="1">
      <x v="2"/>
    </i>
    <i r="2">
      <x v="7"/>
    </i>
    <i>
      <x v="8"/>
    </i>
    <i r="1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Basic Salary" fld="3" baseField="0" baseItem="0"/>
    <dataField name="Sum of Gross Salary" fld="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8329-0888-4A99-8B9C-B96E91B04E3F}">
  <dimension ref="A1:C22"/>
  <sheetViews>
    <sheetView tabSelected="1" topLeftCell="A4" workbookViewId="0">
      <selection activeCell="F8" sqref="F8"/>
    </sheetView>
  </sheetViews>
  <sheetFormatPr defaultRowHeight="15"/>
  <cols>
    <col min="1" max="1" width="15" bestFit="1" customWidth="1"/>
    <col min="2" max="2" width="18" bestFit="1" customWidth="1"/>
    <col min="3" max="5" width="18.5703125" bestFit="1" customWidth="1"/>
    <col min="6" max="10" width="16.28515625" bestFit="1" customWidth="1"/>
    <col min="11" max="12" width="11.28515625" bestFit="1" customWidth="1"/>
    <col min="13" max="13" width="11.7109375" bestFit="1" customWidth="1"/>
    <col min="14" max="14" width="9.85546875" bestFit="1" customWidth="1"/>
    <col min="15" max="15" width="13.140625" bestFit="1" customWidth="1"/>
    <col min="16" max="16" width="9.85546875" bestFit="1" customWidth="1"/>
    <col min="17" max="17" width="11.85546875" bestFit="1" customWidth="1"/>
    <col min="18" max="18" width="9.85546875" bestFit="1" customWidth="1"/>
    <col min="19" max="19" width="10.85546875" bestFit="1" customWidth="1"/>
    <col min="20" max="20" width="9.85546875" bestFit="1" customWidth="1"/>
    <col min="21" max="21" width="11.28515625" bestFit="1" customWidth="1"/>
  </cols>
  <sheetData>
    <row r="1" spans="1:3">
      <c r="A1" s="2" t="s">
        <v>7</v>
      </c>
      <c r="B1" t="s">
        <v>42</v>
      </c>
    </row>
    <row r="3" spans="1:3">
      <c r="A3" s="2" t="s">
        <v>39</v>
      </c>
      <c r="B3" t="s">
        <v>41</v>
      </c>
      <c r="C3" t="s">
        <v>43</v>
      </c>
    </row>
    <row r="4" spans="1:3">
      <c r="A4" s="3" t="s">
        <v>38</v>
      </c>
      <c r="B4" s="5">
        <v>590000</v>
      </c>
      <c r="C4" s="5">
        <v>668000</v>
      </c>
    </row>
    <row r="5" spans="1:3">
      <c r="A5" s="4" t="s">
        <v>27</v>
      </c>
      <c r="B5" s="5">
        <v>590000</v>
      </c>
      <c r="C5" s="5">
        <v>668000</v>
      </c>
    </row>
    <row r="6" spans="1:3">
      <c r="A6" s="6" t="s">
        <v>37</v>
      </c>
      <c r="B6" s="5">
        <v>590000</v>
      </c>
      <c r="C6" s="5">
        <v>668000</v>
      </c>
    </row>
    <row r="7" spans="1:3">
      <c r="A7" s="3" t="s">
        <v>26</v>
      </c>
      <c r="B7" s="5">
        <v>580000</v>
      </c>
      <c r="C7" s="5">
        <v>655000</v>
      </c>
    </row>
    <row r="8" spans="1:3">
      <c r="A8" s="4" t="s">
        <v>27</v>
      </c>
      <c r="B8" s="5">
        <v>580000</v>
      </c>
      <c r="C8" s="5">
        <v>655000</v>
      </c>
    </row>
    <row r="9" spans="1:3">
      <c r="A9" s="6" t="s">
        <v>25</v>
      </c>
      <c r="B9" s="5">
        <v>580000</v>
      </c>
      <c r="C9" s="5">
        <v>655000</v>
      </c>
    </row>
    <row r="10" spans="1:3">
      <c r="A10" s="3" t="s">
        <v>32</v>
      </c>
      <c r="B10" s="5">
        <v>540000</v>
      </c>
      <c r="C10" s="5">
        <v>610000</v>
      </c>
    </row>
    <row r="11" spans="1:3">
      <c r="A11" s="4" t="s">
        <v>16</v>
      </c>
      <c r="B11" s="5">
        <v>540000</v>
      </c>
      <c r="C11" s="5">
        <v>610000</v>
      </c>
    </row>
    <row r="12" spans="1:3">
      <c r="A12" s="6" t="s">
        <v>31</v>
      </c>
      <c r="B12" s="5">
        <v>540000</v>
      </c>
      <c r="C12" s="5">
        <v>610000</v>
      </c>
    </row>
    <row r="13" spans="1:3">
      <c r="A13" s="3" t="s">
        <v>15</v>
      </c>
      <c r="B13" s="5">
        <v>550000</v>
      </c>
      <c r="C13" s="5">
        <v>620000</v>
      </c>
    </row>
    <row r="14" spans="1:3">
      <c r="A14" s="4" t="s">
        <v>16</v>
      </c>
      <c r="B14" s="5">
        <v>550000</v>
      </c>
      <c r="C14" s="5">
        <v>620000</v>
      </c>
    </row>
    <row r="15" spans="1:3">
      <c r="A15" s="6" t="s">
        <v>14</v>
      </c>
      <c r="B15" s="5">
        <v>550000</v>
      </c>
      <c r="C15" s="5">
        <v>620000</v>
      </c>
    </row>
    <row r="16" spans="1:3">
      <c r="A16" s="3" t="s">
        <v>34</v>
      </c>
      <c r="B16" s="5">
        <v>680000</v>
      </c>
      <c r="C16" s="5">
        <v>775000</v>
      </c>
    </row>
    <row r="17" spans="1:3">
      <c r="A17" s="4" t="s">
        <v>24</v>
      </c>
      <c r="B17" s="5">
        <v>680000</v>
      </c>
      <c r="C17" s="5">
        <v>775000</v>
      </c>
    </row>
    <row r="18" spans="1:3">
      <c r="A18" s="6" t="s">
        <v>33</v>
      </c>
      <c r="B18" s="5">
        <v>680000</v>
      </c>
      <c r="C18" s="5">
        <v>775000</v>
      </c>
    </row>
    <row r="19" spans="1:3">
      <c r="A19" s="3" t="s">
        <v>23</v>
      </c>
      <c r="B19" s="5">
        <v>650000</v>
      </c>
      <c r="C19" s="5">
        <v>740000</v>
      </c>
    </row>
    <row r="20" spans="1:3">
      <c r="A20" s="4" t="s">
        <v>24</v>
      </c>
      <c r="B20" s="5">
        <v>650000</v>
      </c>
      <c r="C20" s="5">
        <v>740000</v>
      </c>
    </row>
    <row r="21" spans="1:3">
      <c r="A21" s="6" t="s">
        <v>22</v>
      </c>
      <c r="B21" s="5">
        <v>650000</v>
      </c>
      <c r="C21" s="5">
        <v>740000</v>
      </c>
    </row>
    <row r="22" spans="1:3">
      <c r="A22" s="3" t="s">
        <v>40</v>
      </c>
      <c r="B22" s="5">
        <v>3590000</v>
      </c>
      <c r="C22" s="5">
        <v>4068000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L5" sqref="L5"/>
    </sheetView>
  </sheetViews>
  <sheetFormatPr defaultColWidth="9" defaultRowHeight="15"/>
  <cols>
    <col min="1" max="1" width="12.140625" customWidth="1"/>
    <col min="2" max="2" width="15" customWidth="1"/>
    <col min="3" max="3" width="13.7109375" customWidth="1"/>
    <col min="4" max="4" width="14.85546875" customWidth="1"/>
    <col min="5" max="5" width="13.85546875" customWidth="1"/>
    <col min="6" max="6" width="12.5703125" customWidth="1"/>
    <col min="7" max="7" width="12.42578125" customWidth="1"/>
    <col min="8" max="8" width="16.140625" customWidth="1"/>
    <col min="9" max="9" width="12.42578125" customWidth="1"/>
    <col min="11" max="11" width="26.42578125" customWidth="1"/>
    <col min="12" max="12" width="11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2">
      <c r="A2" t="s">
        <v>10</v>
      </c>
      <c r="B2" t="s">
        <v>11</v>
      </c>
      <c r="C2" t="s">
        <v>12</v>
      </c>
      <c r="D2">
        <v>600000</v>
      </c>
      <c r="E2">
        <v>80000</v>
      </c>
      <c r="F2">
        <v>50000</v>
      </c>
      <c r="G2">
        <f t="shared" ref="G2:G11" si="0">D2+E2</f>
        <v>680000</v>
      </c>
      <c r="H2">
        <f t="shared" ref="H2:H11" si="1">G2-F2</f>
        <v>630000</v>
      </c>
      <c r="I2" t="str">
        <f t="shared" ref="I2:I11" si="2">IF(H2&gt;600000,"Yes","No")</f>
        <v>Yes</v>
      </c>
      <c r="K2" t="s">
        <v>13</v>
      </c>
      <c r="L2">
        <f>SUM(H2:H11)</f>
        <v>6084000</v>
      </c>
    </row>
    <row r="3" spans="1:12">
      <c r="A3" t="s">
        <v>14</v>
      </c>
      <c r="B3" t="s">
        <v>15</v>
      </c>
      <c r="C3" t="s">
        <v>16</v>
      </c>
      <c r="D3">
        <v>550000</v>
      </c>
      <c r="E3">
        <v>70000</v>
      </c>
      <c r="F3">
        <v>45000</v>
      </c>
      <c r="G3">
        <f t="shared" si="0"/>
        <v>620000</v>
      </c>
      <c r="H3">
        <f t="shared" si="1"/>
        <v>575000</v>
      </c>
      <c r="I3" t="str">
        <f t="shared" si="2"/>
        <v>No</v>
      </c>
      <c r="K3" t="s">
        <v>17</v>
      </c>
      <c r="L3">
        <f>AVERAGE(H2:H11)</f>
        <v>608400</v>
      </c>
    </row>
    <row r="4" spans="1:12">
      <c r="A4" t="s">
        <v>18</v>
      </c>
      <c r="B4" t="s">
        <v>19</v>
      </c>
      <c r="C4" t="s">
        <v>20</v>
      </c>
      <c r="D4">
        <v>500000</v>
      </c>
      <c r="E4">
        <v>60000</v>
      </c>
      <c r="F4">
        <v>40000</v>
      </c>
      <c r="G4">
        <f t="shared" si="0"/>
        <v>560000</v>
      </c>
      <c r="H4">
        <f t="shared" si="1"/>
        <v>520000</v>
      </c>
      <c r="I4" t="str">
        <f t="shared" si="2"/>
        <v>No</v>
      </c>
      <c r="K4" t="s">
        <v>21</v>
      </c>
      <c r="L4">
        <f>COUNTIF(H2:H11,"&gt;600000")</f>
        <v>6</v>
      </c>
    </row>
    <row r="5" spans="1:12">
      <c r="A5" t="s">
        <v>22</v>
      </c>
      <c r="B5" t="s">
        <v>23</v>
      </c>
      <c r="C5" t="s">
        <v>24</v>
      </c>
      <c r="D5">
        <v>650000</v>
      </c>
      <c r="E5">
        <v>90000</v>
      </c>
      <c r="F5">
        <v>60000</v>
      </c>
      <c r="G5">
        <f t="shared" si="0"/>
        <v>740000</v>
      </c>
      <c r="H5">
        <f t="shared" si="1"/>
        <v>680000</v>
      </c>
      <c r="I5" t="str">
        <f t="shared" si="2"/>
        <v>Yes</v>
      </c>
      <c r="L5">
        <f>COUNTBLANK(A1:H11)</f>
        <v>0</v>
      </c>
    </row>
    <row r="6" spans="1:12">
      <c r="A6" t="s">
        <v>25</v>
      </c>
      <c r="B6" t="s">
        <v>26</v>
      </c>
      <c r="C6" t="s">
        <v>27</v>
      </c>
      <c r="D6">
        <v>580000</v>
      </c>
      <c r="E6">
        <v>75000</v>
      </c>
      <c r="F6">
        <v>50000</v>
      </c>
      <c r="G6">
        <f t="shared" si="0"/>
        <v>655000</v>
      </c>
      <c r="H6">
        <f t="shared" si="1"/>
        <v>605000</v>
      </c>
      <c r="I6" t="str">
        <f t="shared" si="2"/>
        <v>Yes</v>
      </c>
      <c r="K6" s="1" t="s">
        <v>28</v>
      </c>
    </row>
    <row r="7" spans="1:12">
      <c r="A7" t="s">
        <v>29</v>
      </c>
      <c r="B7" t="s">
        <v>30</v>
      </c>
      <c r="C7" t="s">
        <v>12</v>
      </c>
      <c r="D7">
        <v>620000</v>
      </c>
      <c r="E7">
        <v>85000</v>
      </c>
      <c r="F7">
        <v>55000</v>
      </c>
      <c r="G7">
        <f t="shared" si="0"/>
        <v>705000</v>
      </c>
      <c r="H7">
        <f t="shared" si="1"/>
        <v>650000</v>
      </c>
      <c r="I7" t="str">
        <f t="shared" si="2"/>
        <v>Yes</v>
      </c>
      <c r="K7" t="s">
        <v>12</v>
      </c>
      <c r="L7">
        <f>SUMIF(C2:C11,"Finance",H2:H11)</f>
        <v>1280000</v>
      </c>
    </row>
    <row r="8" spans="1:12">
      <c r="A8" t="s">
        <v>31</v>
      </c>
      <c r="B8" t="s">
        <v>32</v>
      </c>
      <c r="C8" t="s">
        <v>16</v>
      </c>
      <c r="D8">
        <v>540000</v>
      </c>
      <c r="E8">
        <v>70000</v>
      </c>
      <c r="F8">
        <v>45000</v>
      </c>
      <c r="G8">
        <f t="shared" si="0"/>
        <v>610000</v>
      </c>
      <c r="H8">
        <f t="shared" si="1"/>
        <v>565000</v>
      </c>
      <c r="I8" t="str">
        <f t="shared" si="2"/>
        <v>No</v>
      </c>
      <c r="K8" t="s">
        <v>16</v>
      </c>
      <c r="L8">
        <f>SUMIF(C2:C11,"Sales",H2:H11)</f>
        <v>1140000</v>
      </c>
    </row>
    <row r="9" spans="1:12">
      <c r="A9" t="s">
        <v>33</v>
      </c>
      <c r="B9" t="s">
        <v>34</v>
      </c>
      <c r="C9" t="s">
        <v>24</v>
      </c>
      <c r="D9">
        <v>680000</v>
      </c>
      <c r="E9">
        <v>95000</v>
      </c>
      <c r="F9">
        <v>65000</v>
      </c>
      <c r="G9">
        <f t="shared" si="0"/>
        <v>775000</v>
      </c>
      <c r="H9">
        <f t="shared" si="1"/>
        <v>710000</v>
      </c>
      <c r="I9" t="str">
        <f t="shared" si="2"/>
        <v>Yes</v>
      </c>
      <c r="K9" t="s">
        <v>20</v>
      </c>
      <c r="L9">
        <f>SUMIF(C2:C11,"HR",H2:H11)</f>
        <v>1053000</v>
      </c>
    </row>
    <row r="10" spans="1:12">
      <c r="A10" t="s">
        <v>35</v>
      </c>
      <c r="B10" t="s">
        <v>36</v>
      </c>
      <c r="C10" t="s">
        <v>20</v>
      </c>
      <c r="D10">
        <v>510000</v>
      </c>
      <c r="E10">
        <v>65000</v>
      </c>
      <c r="F10">
        <v>42000</v>
      </c>
      <c r="G10">
        <f t="shared" si="0"/>
        <v>575000</v>
      </c>
      <c r="H10">
        <f t="shared" si="1"/>
        <v>533000</v>
      </c>
      <c r="I10" t="str">
        <f t="shared" si="2"/>
        <v>No</v>
      </c>
      <c r="K10" t="s">
        <v>24</v>
      </c>
      <c r="L10">
        <f>SUMIF(C2:C11,"IT",H2:H11)</f>
        <v>1390000</v>
      </c>
    </row>
    <row r="11" spans="1:12">
      <c r="A11" t="s">
        <v>37</v>
      </c>
      <c r="B11" t="s">
        <v>38</v>
      </c>
      <c r="C11" t="s">
        <v>27</v>
      </c>
      <c r="D11">
        <v>590000</v>
      </c>
      <c r="E11">
        <v>78000</v>
      </c>
      <c r="F11">
        <v>52000</v>
      </c>
      <c r="G11">
        <f t="shared" si="0"/>
        <v>668000</v>
      </c>
      <c r="H11">
        <f t="shared" si="1"/>
        <v>616000</v>
      </c>
      <c r="I11" t="str">
        <f t="shared" si="2"/>
        <v>Yes</v>
      </c>
      <c r="K11" t="s">
        <v>27</v>
      </c>
      <c r="L11">
        <f>SUMIF(C2:C11,"Marketing",H2:H11)</f>
        <v>1221000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 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2026-03-03T10:12:00Z</dcterms:created>
  <dcterms:modified xsi:type="dcterms:W3CDTF">2026-03-08T14:30:59Z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C55FAF1BC21D40ABB21F28D209D42428_12</vt:lpwstr>
  </property>
  <property fmtid="{D5CDD505-2E9C-101B-9397-08002B2CF9AE}" pid="3" name="KSOProductBuildVer">
    <vt:lpwstr>1033-12.2.0.23196</vt:lpwstr>
  </property>
</Properties>
</file>